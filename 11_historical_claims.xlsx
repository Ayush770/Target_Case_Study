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d1fa029a9744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istorical Claims" sheetId="1" r:id="R9c68b3f008114378"/>
    <x:sheet xmlns:r="http://schemas.openxmlformats.org/officeDocument/2006/relationships" name="Dataset Notes" sheetId="2" r:id="R85b15e63f6074d8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$#,##0.00"/>
    <x:numFmt numFmtId="201" formatCode="0.0%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AF2F8"/>
      </x:patternFill>
    </x:fill>
  </x:fills>
  <x:borders count="2">
    <x:border/>
    <x:border/>
  </x:borders>
  <x:cellStyleXfs count="1">
    <x:xf numFmtId="0" fontId="0" fillId="0" borderId="0"/>
  </x:cellStyleXfs>
  <x:cellXfs count="2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7676c95741c47b6" /><Relationship Type="http://schemas.openxmlformats.org/officeDocument/2006/relationships/theme" Target="/xl/theme/theme1.xml" Id="R1f758aa1abf14b7f" /><Relationship Type="http://schemas.openxmlformats.org/officeDocument/2006/relationships/sharedStrings" Target="/xl/sharedStrings.xml" Id="R6bac6ec626224503" /><Relationship Type="http://schemas.openxmlformats.org/officeDocument/2006/relationships/worksheet" Target="/xl/worksheets/sheet1.xml" Id="R9c68b3f008114378" /><Relationship Type="http://schemas.openxmlformats.org/officeDocument/2006/relationships/worksheet" Target="/xl/worksheets/sheet2.xml" Id="R85b15e63f6074d82" /></Relationships>
</file>

<file path=xl/tables/table1.xml><?xml version="1.0" encoding="utf-8"?>
<x:table xmlns:x="http://schemas.openxmlformats.org/spreadsheetml/2006/main" id="1" name="HistoricalClaimsTable" displayName="HistoricalClaimsTable" ref="A1:K31" headerRowCount="1" totalsRowCount="0" totalsRowShown="0">
  <x:tableColumns count="11">
    <x:tableColumn id="1" name="claim_id"/>
    <x:tableColumn id="2" name="carrier"/>
    <x:tableColumn id="3" name="issue_type"/>
    <x:tableColumn id="4" name="service_level"/>
    <x:tableColumn id="5" name="claimed_usd"/>
    <x:tableColumn id="6" name="settled_usd"/>
    <x:tableColumn id="7" name="settlement_pct"/>
    <x:tableColumn id="8" name="days_to_settle"/>
    <x:tableColumn id="9" name="evidence"/>
    <x:tableColumn id="10" name="negotiation_summary"/>
    <x:tableColumn id="11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4308a2f47434217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5" hidden="0" customWidth="1"/>
    <x:col min="3" max="3" width="18" hidden="0" customWidth="1"/>
    <x:col min="4" max="4" width="23" hidden="0" customWidth="1"/>
    <x:col min="5" max="5" width="14" hidden="0" customWidth="1"/>
    <x:col min="6" max="6" width="14" hidden="0" customWidth="1"/>
    <x:col min="7" max="7" width="13" hidden="0" customWidth="1"/>
    <x:col min="8" max="8" width="14" hidden="0" customWidth="1"/>
    <x:col min="9" max="9" width="24" hidden="0" customWidth="1"/>
    <x:col min="10" max="10" width="42" hidden="0" customWidth="1"/>
    <x:col min="11" max="11" width="24" hidden="0" customWidth="1"/>
  </x:cols>
  <x:sheetData>
    <x:row r="1">
      <x:c r="A1" s="10" t="str">
        <x:v>claim_id</x:v>
      </x:c>
      <x:c r="B1" s="10" t="str">
        <x:v>carrier</x:v>
      </x:c>
      <x:c r="C1" s="10" t="str">
        <x:v>issue_type</x:v>
      </x:c>
      <x:c r="D1" s="10" t="str">
        <x:v>service_level</x:v>
      </x:c>
      <x:c r="E1" s="10" t="str">
        <x:v>claimed_usd</x:v>
      </x:c>
      <x:c r="F1" s="10" t="str">
        <x:v>settled_usd</x:v>
      </x:c>
      <x:c r="G1" s="10" t="str">
        <x:v>settlement_pct</x:v>
      </x:c>
      <x:c r="H1" s="10" t="str">
        <x:v>days_to_settle</x:v>
      </x:c>
      <x:c r="I1" s="10" t="str">
        <x:v>evidence</x:v>
      </x:c>
      <x:c r="J1" s="10" t="str">
        <x:v>negotiation_summary</x:v>
      </x:c>
      <x:c r="K1" s="10" t="str">
        <x:v>notes</x:v>
      </x:c>
    </x:row>
    <x:row r="2">
      <x:c r="A2" s="11" t="str">
        <x:v>HC-2025-0067</x:v>
      </x:c>
      <x:c r="B2" s="11" t="str">
        <x:v>BlueLine Freight Systems</x:v>
      </x:c>
      <x:c r="C2" s="11" t="str">
        <x:v>DAMAGE+SHORTAGE</x:v>
      </x:c>
      <x:c r="D2" s="11" t="str">
        <x:v>Standard LTL</x:v>
      </x:c>
      <x:c r="E2" s="14" t="n">
        <x:v>12750</x:v>
      </x:c>
      <x:c r="F2" s="14" t="n">
        <x:v>10980</x:v>
      </x:c>
      <x:c r="G2" s="16" t="n">
        <x:f>F2/E2</x:f>
        <x:v>0.8611764705882353</x:v>
      </x:c>
      <x:c r="H2" s="11" t="n">
        <x:v>29</x:v>
      </x:c>
      <x:c r="I2" s="11" t="str">
        <x:v>Photos+POD+inspection</x:v>
      </x:c>
      <x:c r="J2" s="11" t="str">
        <x:v>Carrier initially disputed 3 damaged units; settled after inspection corroboration</x:v>
      </x:c>
      <x:c r="K2" s="11" t="str">
        <x:v>No delay component</x:v>
      </x:c>
    </x:row>
    <x:row r="3">
      <x:c r="A3" s="11" t="str">
        <x:v>HC-2025-0094</x:v>
      </x:c>
      <x:c r="B3" s="11" t="str">
        <x:v>BlueLine Freight Systems</x:v>
      </x:c>
      <x:c r="C3" s="11" t="str">
        <x:v>DELAY</x:v>
      </x:c>
      <x:c r="D3" s="11" t="str">
        <x:v>Standard LTL</x:v>
      </x:c>
      <x:c r="E3" s="14" t="n">
        <x:v>18000</x:v>
      </x:c>
      <x:c r="F3" s="14" t="n">
        <x:v>1450</x:v>
      </x:c>
      <x:c r="G3" s="16" t="n">
        <x:f>F3/E3</x:f>
        <x:v>0.08055555555555556</x:v>
      </x:c>
      <x:c r="H3" s="11" t="n">
        <x:v>18</x:v>
      </x:c>
      <x:c r="I3" s="11" t="str">
        <x:v>POD+TMS</x:v>
      </x:c>
      <x:c r="J3" s="11" t="str">
        <x:v>Promotion markdown denied; commercial freight refund approved</x:v>
      </x:c>
      <x:c r="K3" s="11" t="str">
        <x:v>No guaranteed service</x:v>
      </x:c>
    </x:row>
    <x:row r="4">
      <x:c r="A4" s="11" t="str">
        <x:v>HC-2025-0118</x:v>
      </x:c>
      <x:c r="B4" s="11" t="str">
        <x:v>BlueLine Freight Systems</x:v>
      </x:c>
      <x:c r="C4" s="11" t="str">
        <x:v>DAMAGE</x:v>
      </x:c>
      <x:c r="D4" s="11" t="str">
        <x:v>Standard LTL</x:v>
      </x:c>
      <x:c r="E4" s="14" t="n">
        <x:v>9350</x:v>
      </x:c>
      <x:c r="F4" s="14" t="n">
        <x:v>7600</x:v>
      </x:c>
      <x:c r="G4" s="16" t="n">
        <x:f>F4/E4</x:f>
        <x:v>0.8128342245989305</x:v>
      </x:c>
      <x:c r="H4" s="11" t="n">
        <x:v>34</x:v>
      </x:c>
      <x:c r="I4" s="11" t="str">
        <x:v>POD+2 photos+inspection</x:v>
      </x:c>
      <x:c r="J4" s="11" t="str">
        <x:v>Partial packaging dispute; missing packaging spec</x:v>
      </x:c>
      <x:c r="K4" s="11" t="str">
        <x:v>Very similar evidence profile</x:v>
      </x:c>
    </x:row>
    <x:row r="5">
      <x:c r="A5" s="11" t="str">
        <x:v>HC-2025-0142</x:v>
      </x:c>
      <x:c r="B5" s="11" t="str">
        <x:v>BlueLine Freight Systems</x:v>
      </x:c>
      <x:c r="C5" s="11" t="str">
        <x:v>DAMAGE+DELAY</x:v>
      </x:c>
      <x:c r="D5" s="11" t="str">
        <x:v>Standard LTL</x:v>
      </x:c>
      <x:c r="E5" s="14" t="n">
        <x:v>21400</x:v>
      </x:c>
      <x:c r="F5" s="14" t="n">
        <x:v>9100</x:v>
      </x:c>
      <x:c r="G5" s="16" t="n">
        <x:f>F5/E5</x:f>
        <x:v>0.4252336448598131</x:v>
      </x:c>
      <x:c r="H5" s="11" t="n">
        <x:v>41</x:v>
      </x:c>
      <x:c r="I5" s="11" t="str">
        <x:v>POD+photos+invoice</x:v>
      </x:c>
      <x:c r="J5" s="11" t="str">
        <x:v>Delay damages denied; product damage settled near invoice value</x:v>
      </x:c>
      <x:c r="K5" s="11" t="str">
        <x:v>Retail launch missed</x:v>
      </x:c>
    </x:row>
    <x:row r="6">
      <x:c r="A6" s="11" t="str">
        <x:v>HC-2026-0021</x:v>
      </x:c>
      <x:c r="B6" s="11" t="str">
        <x:v>BlueLine Freight Systems</x:v>
      </x:c>
      <x:c r="C6" s="11" t="str">
        <x:v>SHORTAGE</x:v>
      </x:c>
      <x:c r="D6" s="11" t="str">
        <x:v>Standard LTL</x:v>
      </x:c>
      <x:c r="E6" s="14" t="n">
        <x:v>5100</x:v>
      </x:c>
      <x:c r="F6" s="14" t="n">
        <x:v>5100</x:v>
      </x:c>
      <x:c r="G6" s="16" t="n">
        <x:f>F6/E6</x:f>
        <x:v>1</x:v>
      </x:c>
      <x:c r="H6" s="11" t="n">
        <x:v>12</x:v>
      </x:c>
      <x:c r="I6" s="11" t="str">
        <x:v>POD+invoice</x:v>
      </x:c>
      <x:c r="J6" s="11" t="str">
        <x:v>Clear shortage on signed POD</x:v>
      </x:c>
      <x:c r="K6" s="11" t="str">
        <x:v>Full direct loss paid</x:v>
      </x:c>
    </x:row>
    <x:row r="7">
      <x:c r="A7" s="11" t="str">
        <x:v>HC-2026-0044</x:v>
      </x:c>
      <x:c r="B7" s="11" t="str">
        <x:v>BlueLine Freight Systems</x:v>
      </x:c>
      <x:c r="C7" s="11" t="str">
        <x:v>DAMAGE</x:v>
      </x:c>
      <x:c r="D7" s="11" t="str">
        <x:v>Guaranteed Appointment</x:v>
      </x:c>
      <x:c r="E7" s="14" t="n">
        <x:v>6800</x:v>
      </x:c>
      <x:c r="F7" s="14" t="n">
        <x:v>6450</x:v>
      </x:c>
      <x:c r="G7" s="16" t="n">
        <x:f>F7/E7</x:f>
        <x:v>0.9485294117647058</x:v>
      </x:c>
      <x:c r="H7" s="11" t="n">
        <x:v>22</x:v>
      </x:c>
      <x:c r="I7" s="11" t="str">
        <x:v>POD+photos+inspection</x:v>
      </x:c>
      <x:c r="J7" s="11" t="str">
        <x:v>Cargo paid less salvage; separate freight refund</x:v>
      </x:c>
      <x:c r="K7" s="11" t="str">
        <x:v>Guarantee purchased</x:v>
      </x:c>
    </x:row>
    <x:row r="8">
      <x:c r="A8" s="11" t="str">
        <x:v>HC-2026-0063</x:v>
      </x:c>
      <x:c r="B8" s="11" t="str">
        <x:v>ArrowPeak Logistics</x:v>
      </x:c>
      <x:c r="C8" s="11" t="str">
        <x:v>DAMAGE+SHORTAGE</x:v>
      </x:c>
      <x:c r="D8" s="11" t="str">
        <x:v>Standard LTL</x:v>
      </x:c>
      <x:c r="E8" s="14" t="n">
        <x:v>15400</x:v>
      </x:c>
      <x:c r="F8" s="14" t="n">
        <x:v>13100</x:v>
      </x:c>
      <x:c r="G8" s="16" t="n">
        <x:f>F8/E8</x:f>
        <x:v>0.8506493506493507</x:v>
      </x:c>
      <x:c r="H8" s="11" t="n">
        <x:v>37</x:v>
      </x:c>
      <x:c r="I8" s="11" t="str">
        <x:v>POD+invoice+photos</x:v>
      </x:c>
      <x:c r="J8" s="11" t="str">
        <x:v>Negotiated 85% after evidence gap</x:v>
      </x:c>
      <x:c r="K8" s="11" t="str">
        <x:v>Different carrier</x:v>
      </x:c>
    </x:row>
    <x:row r="9">
      <x:c r="A9" s="11" t="str">
        <x:v>HC-2026-0075</x:v>
      </x:c>
      <x:c r="B9" s="11" t="str">
        <x:v>BlueLine Freight Systems</x:v>
      </x:c>
      <x:c r="C9" s="11" t="str">
        <x:v>DAMAGE</x:v>
      </x:c>
      <x:c r="D9" s="11" t="str">
        <x:v>Standard LTL</x:v>
      </x:c>
      <x:c r="E9" s="14" t="n">
        <x:v>6200</x:v>
      </x:c>
      <x:c r="F9" s="14" t="n">
        <x:v>4800</x:v>
      </x:c>
      <x:c r="G9" s="16" t="n">
        <x:f>F9/E9</x:f>
        <x:v>0.7741935483870968</x:v>
      </x:c>
      <x:c r="H9" s="11" t="n">
        <x:v>27</x:v>
      </x:c>
      <x:c r="I9" s="11" t="str">
        <x:v>POD+photos</x:v>
      </x:c>
      <x:c r="J9" s="11" t="str">
        <x:v>No inspection; disputed hidden damage</x:v>
      </x:c>
      <x:c r="K9" s="11" t="str">
        <x:v>Weak documentation</x:v>
      </x:c>
    </x:row>
    <x:row r="10">
      <x:c r="A10" s="11" t="str">
        <x:v>HC-2024-0200</x:v>
      </x:c>
      <x:c r="B10" s="11" t="str">
        <x:v>ArrowPeak Logistics</x:v>
      </x:c>
      <x:c r="C10" s="11" t="str">
        <x:v>DAMAGE</x:v>
      </x:c>
      <x:c r="D10" s="11" t="str">
        <x:v>Standard LTL</x:v>
      </x:c>
      <x:c r="E10" s="14" t="n">
        <x:v>13000</x:v>
      </x:c>
      <x:c r="F10" s="14" t="n">
        <x:v>10600</x:v>
      </x:c>
      <x:c r="G10" s="16" t="n">
        <x:f>F10/E10</x:f>
        <x:v>0.8153846153846154</x:v>
      </x:c>
      <x:c r="H10" s="11" t="n">
        <x:v>49</x:v>
      </x:c>
      <x:c r="I10" s="11" t="str">
        <x:v>POD+photos+inspection</x:v>
      </x:c>
      <x:c r="J10" s="11" t="str">
        <x:v>Packaging allocation negotiated</x:v>
      </x:c>
      <x:c r="K10" s="11" t="str">
        <x:v>No guaranteed service</x:v>
      </x:c>
    </x:row>
    <x:row r="11">
      <x:c r="A11" s="11" t="str">
        <x:v>HC-2024-0201</x:v>
      </x:c>
      <x:c r="B11" s="11" t="str">
        <x:v>ArrowPeak Logistics</x:v>
      </x:c>
      <x:c r="C11" s="11" t="str">
        <x:v>SHORTAGE</x:v>
      </x:c>
      <x:c r="D11" s="11" t="str">
        <x:v>Guaranteed Appointment</x:v>
      </x:c>
      <x:c r="E11" s="14" t="n">
        <x:v>12550</x:v>
      </x:c>
      <x:c r="F11" s="14" t="n">
        <x:v>9850</x:v>
      </x:c>
      <x:c r="G11" s="16" t="n">
        <x:f>F11/E11</x:f>
        <x:v>0.7848605577689243</x:v>
      </x:c>
      <x:c r="H11" s="11" t="n">
        <x:v>30</x:v>
      </x:c>
      <x:c r="I11" s="11" t="str">
        <x:v>POD+invoice</x:v>
      </x:c>
      <x:c r="J11" s="11" t="str">
        <x:v>Settled after two counteroffers</x:v>
      </x:c>
      <x:c r="K11" s="11" t="str">
        <x:v>Long-term account</x:v>
      </x:c>
    </x:row>
    <x:row r="12">
      <x:c r="A12" s="11" t="str">
        <x:v>HC-2024-0202</x:v>
      </x:c>
      <x:c r="B12" s="11" t="str">
        <x:v>BlueLine Freight Systems</x:v>
      </x:c>
      <x:c r="C12" s="11" t="str">
        <x:v>DELAY</x:v>
      </x:c>
      <x:c r="D12" s="11" t="str">
        <x:v>Standard LTL</x:v>
      </x:c>
      <x:c r="E12" s="14" t="n">
        <x:v>24100</x:v>
      </x:c>
      <x:c r="F12" s="14" t="n">
        <x:v>2050</x:v>
      </x:c>
      <x:c r="G12" s="16" t="n">
        <x:f>F12/E12</x:f>
        <x:v>0.08506224066390042</x:v>
      </x:c>
      <x:c r="H12" s="11" t="n">
        <x:v>28</x:v>
      </x:c>
      <x:c r="I12" s="11" t="str">
        <x:v>POD+invoice</x:v>
      </x:c>
      <x:c r="J12" s="11" t="str">
        <x:v>Settled after two counteroffers</x:v>
      </x:c>
      <x:c r="K12" s="11" t="str"/>
    </x:row>
    <x:row r="13">
      <x:c r="A13" s="11" t="str">
        <x:v>HC-2024-0203</x:v>
      </x:c>
      <x:c r="B13" s="11" t="str">
        <x:v>BlueLine Freight Systems</x:v>
      </x:c>
      <x:c r="C13" s="11" t="str">
        <x:v>DELAY</x:v>
      </x:c>
      <x:c r="D13" s="11" t="str">
        <x:v>Standard LTL</x:v>
      </x:c>
      <x:c r="E13" s="14" t="n">
        <x:v>12200</x:v>
      </x:c>
      <x:c r="F13" s="14" t="n">
        <x:v>1350</x:v>
      </x:c>
      <x:c r="G13" s="16" t="n">
        <x:f>F13/E13</x:f>
        <x:v>0.11065573770491803</x:v>
      </x:c>
      <x:c r="H13" s="11" t="n">
        <x:v>41</x:v>
      </x:c>
      <x:c r="I13" s="11" t="str">
        <x:v>POD+invoice+photos</x:v>
      </x:c>
      <x:c r="J13" s="11" t="str">
        <x:v>Settled after two counteroffers</x:v>
      </x:c>
      <x:c r="K13" s="11" t="str">
        <x:v>Salvage credited</x:v>
      </x:c>
    </x:row>
    <x:row r="14">
      <x:c r="A14" s="11" t="str">
        <x:v>HC-2024-0204</x:v>
      </x:c>
      <x:c r="B14" s="11" t="str">
        <x:v>BlueLine Freight Systems</x:v>
      </x:c>
      <x:c r="C14" s="11" t="str">
        <x:v>DAMAGE</x:v>
      </x:c>
      <x:c r="D14" s="11" t="str">
        <x:v>Guaranteed Appointment</x:v>
      </x:c>
      <x:c r="E14" s="14" t="n">
        <x:v>6350</x:v>
      </x:c>
      <x:c r="F14" s="14" t="n">
        <x:v>5450</x:v>
      </x:c>
      <x:c r="G14" s="16" t="n">
        <x:f>F14/E14</x:f>
        <x:v>0.8582677165354331</x:v>
      </x:c>
      <x:c r="H14" s="11" t="n">
        <x:v>13</x:v>
      </x:c>
      <x:c r="I14" s="11" t="str">
        <x:v>POD+invoice+inspection</x:v>
      </x:c>
      <x:c r="J14" s="11" t="str">
        <x:v>Shortage corroborated by consignee record</x:v>
      </x:c>
      <x:c r="K14" s="11" t="str">
        <x:v>Evidence complete</x:v>
      </x:c>
    </x:row>
    <x:row r="15">
      <x:c r="A15" s="11" t="str">
        <x:v>HC-2024-0205</x:v>
      </x:c>
      <x:c r="B15" s="11" t="str">
        <x:v>BlueLine Freight Systems</x:v>
      </x:c>
      <x:c r="C15" s="11" t="str">
        <x:v>DAMAGE</x:v>
      </x:c>
      <x:c r="D15" s="11" t="str">
        <x:v>Standard LTL</x:v>
      </x:c>
      <x:c r="E15" s="14" t="n">
        <x:v>8050</x:v>
      </x:c>
      <x:c r="F15" s="14" t="n">
        <x:v>7475</x:v>
      </x:c>
      <x:c r="G15" s="16" t="n">
        <x:f>F15/E15</x:f>
        <x:v>0.9285714285714286</x:v>
      </x:c>
      <x:c r="H15" s="11" t="n">
        <x:v>31</x:v>
      </x:c>
      <x:c r="I15" s="11" t="str">
        <x:v>POD+invoice+inspection</x:v>
      </x:c>
      <x:c r="J15" s="11" t="str">
        <x:v>Settled after two counteroffers</x:v>
      </x:c>
      <x:c r="K15" s="11" t="str">
        <x:v>Evidence complete</x:v>
      </x:c>
    </x:row>
    <x:row r="16">
      <x:c r="A16" s="11" t="str">
        <x:v>HC-2024-0206</x:v>
      </x:c>
      <x:c r="B16" s="11" t="str">
        <x:v>BlueLine Freight Systems</x:v>
      </x:c>
      <x:c r="C16" s="11" t="str">
        <x:v>DAMAGE+SHORTAGE</x:v>
      </x:c>
      <x:c r="D16" s="11" t="str">
        <x:v>Standard LTL</x:v>
      </x:c>
      <x:c r="E16" s="14" t="n">
        <x:v>11650</x:v>
      </x:c>
      <x:c r="F16" s="14" t="n">
        <x:v>9525</x:v>
      </x:c>
      <x:c r="G16" s="16" t="n">
        <x:f>F16/E16</x:f>
        <x:v>0.8175965665236051</x:v>
      </x:c>
      <x:c r="H16" s="11" t="n">
        <x:v>33</x:v>
      </x:c>
      <x:c r="I16" s="11" t="str">
        <x:v>POD+invoice+photos</x:v>
      </x:c>
      <x:c r="J16" s="11" t="str">
        <x:v>Shortage corroborated by consignee record</x:v>
      </x:c>
      <x:c r="K16" s="11" t="str">
        <x:v>Salvage credited</x:v>
      </x:c>
    </x:row>
    <x:row r="17">
      <x:c r="A17" s="11" t="str">
        <x:v>HC-2024-0207</x:v>
      </x:c>
      <x:c r="B17" s="11" t="str">
        <x:v>BlueLine Freight Systems</x:v>
      </x:c>
      <x:c r="C17" s="11" t="str">
        <x:v>DAMAGE</x:v>
      </x:c>
      <x:c r="D17" s="11" t="str">
        <x:v>Standard LTL</x:v>
      </x:c>
      <x:c r="E17" s="14" t="n">
        <x:v>7700</x:v>
      </x:c>
      <x:c r="F17" s="14" t="n">
        <x:v>6450</x:v>
      </x:c>
      <x:c r="G17" s="16" t="n">
        <x:f>F17/E17</x:f>
        <x:v>0.8376623376623377</x:v>
      </x:c>
      <x:c r="H17" s="11" t="n">
        <x:v>43</x:v>
      </x:c>
      <x:c r="I17" s="11" t="str">
        <x:v>POD+photos+inspection</x:v>
      </x:c>
      <x:c r="J17" s="11" t="str">
        <x:v>Settled after two counteroffers</x:v>
      </x:c>
      <x:c r="K17" s="11" t="str">
        <x:v>Salvage credited</x:v>
      </x:c>
    </x:row>
    <x:row r="18">
      <x:c r="A18" s="11" t="str">
        <x:v>HC-2024-0208</x:v>
      </x:c>
      <x:c r="B18" s="11" t="str">
        <x:v>BlueLine Freight Systems</x:v>
      </x:c>
      <x:c r="C18" s="11" t="str">
        <x:v>DAMAGE</x:v>
      </x:c>
      <x:c r="D18" s="11" t="str">
        <x:v>Standard LTL</x:v>
      </x:c>
      <x:c r="E18" s="14" t="n">
        <x:v>5250</x:v>
      </x:c>
      <x:c r="F18" s="14" t="n">
        <x:v>4675</x:v>
      </x:c>
      <x:c r="G18" s="16" t="n">
        <x:f>F18/E18</x:f>
        <x:v>0.8904761904761904</x:v>
      </x:c>
      <x:c r="H18" s="11" t="n">
        <x:v>14</x:v>
      </x:c>
      <x:c r="I18" s="11" t="str">
        <x:v>POD+invoice+photos</x:v>
      </x:c>
      <x:c r="J18" s="11" t="str">
        <x:v>Initial carrier denial narrowed after documentation</x:v>
      </x:c>
      <x:c r="K18" s="11" t="str">
        <x:v>Long-term account</x:v>
      </x:c>
    </x:row>
    <x:row r="19">
      <x:c r="A19" s="11" t="str">
        <x:v>HC-2024-0209</x:v>
      </x:c>
      <x:c r="B19" s="11" t="str">
        <x:v>BlueLine Freight Systems</x:v>
      </x:c>
      <x:c r="C19" s="11" t="str">
        <x:v>DAMAGE</x:v>
      </x:c>
      <x:c r="D19" s="11" t="str">
        <x:v>Standard LTL</x:v>
      </x:c>
      <x:c r="E19" s="14" t="n">
        <x:v>8600</x:v>
      </x:c>
      <x:c r="F19" s="14" t="n">
        <x:v>6325</x:v>
      </x:c>
      <x:c r="G19" s="16" t="n">
        <x:f>F19/E19</x:f>
        <x:v>0.7354651162790697</x:v>
      </x:c>
      <x:c r="H19" s="11" t="n">
        <x:v>50</x:v>
      </x:c>
      <x:c r="I19" s="11" t="str">
        <x:v>POD+photos+inspection</x:v>
      </x:c>
      <x:c r="J19" s="11" t="str">
        <x:v>Initial carrier denial narrowed after documentation</x:v>
      </x:c>
      <x:c r="K19" s="11" t="str">
        <x:v>No guaranteed service</x:v>
      </x:c>
    </x:row>
    <x:row r="20">
      <x:c r="A20" s="11" t="str">
        <x:v>HC-2024-0210</x:v>
      </x:c>
      <x:c r="B20" s="11" t="str">
        <x:v>ArrowPeak Logistics</x:v>
      </x:c>
      <x:c r="C20" s="11" t="str">
        <x:v>DAMAGE</x:v>
      </x:c>
      <x:c r="D20" s="11" t="str">
        <x:v>Standard LTL</x:v>
      </x:c>
      <x:c r="E20" s="14" t="n">
        <x:v>16700</x:v>
      </x:c>
      <x:c r="F20" s="14" t="n">
        <x:v>13875</x:v>
      </x:c>
      <x:c r="G20" s="16" t="n">
        <x:f>F20/E20</x:f>
        <x:v>0.8308383233532934</x:v>
      </x:c>
      <x:c r="H20" s="11" t="n">
        <x:v>57</x:v>
      </x:c>
      <x:c r="I20" s="11" t="str">
        <x:v>POD+photos+inspection</x:v>
      </x:c>
      <x:c r="J20" s="11" t="str">
        <x:v>Packaging allocation negotiated</x:v>
      </x:c>
      <x:c r="K20" s="11" t="str">
        <x:v>No guaranteed service</x:v>
      </x:c>
    </x:row>
    <x:row r="21">
      <x:c r="A21" s="11" t="str">
        <x:v>HC-2024-0211</x:v>
      </x:c>
      <x:c r="B21" s="11" t="str">
        <x:v>ArrowPeak Logistics</x:v>
      </x:c>
      <x:c r="C21" s="11" t="str">
        <x:v>SHORTAGE</x:v>
      </x:c>
      <x:c r="D21" s="11" t="str">
        <x:v>Standard LTL</x:v>
      </x:c>
      <x:c r="E21" s="14" t="n">
        <x:v>8100</x:v>
      </x:c>
      <x:c r="F21" s="14" t="n">
        <x:v>6600</x:v>
      </x:c>
      <x:c r="G21" s="16" t="n">
        <x:f>F21/E21</x:f>
        <x:v>0.8148148148148148</x:v>
      </x:c>
      <x:c r="H21" s="11" t="n">
        <x:v>13</x:v>
      </x:c>
      <x:c r="I21" s="11" t="str">
        <x:v>POD+invoice+photos</x:v>
      </x:c>
      <x:c r="J21" s="11" t="str">
        <x:v>Direct cargo loss paid; commercial damages excluded</x:v>
      </x:c>
      <x:c r="K21" s="11" t="str">
        <x:v>No guaranteed service</x:v>
      </x:c>
    </x:row>
    <x:row r="22">
      <x:c r="A22" s="11" t="str">
        <x:v>HC-2024-0212</x:v>
      </x:c>
      <x:c r="B22" s="11" t="str">
        <x:v>RoadBridge Freight</x:v>
      </x:c>
      <x:c r="C22" s="11" t="str">
        <x:v>DAMAGE+DELAY</x:v>
      </x:c>
      <x:c r="D22" s="11" t="str">
        <x:v>Standard LTL</x:v>
      </x:c>
      <x:c r="E22" s="14" t="n">
        <x:v>25050</x:v>
      </x:c>
      <x:c r="F22" s="14" t="n">
        <x:v>11675</x:v>
      </x:c>
      <x:c r="G22" s="16" t="n">
        <x:f>F22/E22</x:f>
        <x:v>0.4660678642714571</x:v>
      </x:c>
      <x:c r="H22" s="11" t="n">
        <x:v>19</x:v>
      </x:c>
      <x:c r="I22" s="11" t="str">
        <x:v>POD+invoice</x:v>
      </x:c>
      <x:c r="J22" s="11" t="str">
        <x:v>Initial carrier denial narrowed after documentation</x:v>
      </x:c>
      <x:c r="K22" s="11" t="str">
        <x:v>No guaranteed service</x:v>
      </x:c>
    </x:row>
    <x:row r="23">
      <x:c r="A23" s="11" t="str">
        <x:v>HC-2024-0213</x:v>
      </x:c>
      <x:c r="B23" s="11" t="str">
        <x:v>BlueLine Freight Systems</x:v>
      </x:c>
      <x:c r="C23" s="11" t="str">
        <x:v>DAMAGE+SHORTAGE</x:v>
      </x:c>
      <x:c r="D23" s="11" t="str">
        <x:v>Standard LTL</x:v>
      </x:c>
      <x:c r="E23" s="14" t="n">
        <x:v>10400</x:v>
      </x:c>
      <x:c r="F23" s="14" t="n">
        <x:v>9875</x:v>
      </x:c>
      <x:c r="G23" s="16" t="n">
        <x:f>F23/E23</x:f>
        <x:v>0.9495192307692307</x:v>
      </x:c>
      <x:c r="H23" s="11" t="n">
        <x:v>23</x:v>
      </x:c>
      <x:c r="I23" s="11" t="str">
        <x:v>POD+invoice</x:v>
      </x:c>
      <x:c r="J23" s="11" t="str">
        <x:v>Settled after two counteroffers</x:v>
      </x:c>
      <x:c r="K23" s="11" t="str">
        <x:v>No guaranteed service</x:v>
      </x:c>
    </x:row>
    <x:row r="24">
      <x:c r="A24" s="11" t="str">
        <x:v>HC-2024-0214</x:v>
      </x:c>
      <x:c r="B24" s="11" t="str">
        <x:v>BlueLine Freight Systems</x:v>
      </x:c>
      <x:c r="C24" s="11" t="str">
        <x:v>DAMAGE</x:v>
      </x:c>
      <x:c r="D24" s="11" t="str">
        <x:v>Standard LTL</x:v>
      </x:c>
      <x:c r="E24" s="14" t="n">
        <x:v>15350</x:v>
      </x:c>
      <x:c r="F24" s="14" t="n">
        <x:v>10975</x:v>
      </x:c>
      <x:c r="G24" s="16" t="n">
        <x:f>F24/E24</x:f>
        <x:v>0.7149837133550488</x:v>
      </x:c>
      <x:c r="H24" s="11" t="n">
        <x:v>46</x:v>
      </x:c>
      <x:c r="I24" s="11" t="str">
        <x:v>POD+invoice</x:v>
      </x:c>
      <x:c r="J24" s="11" t="str">
        <x:v>Shortage corroborated by consignee record</x:v>
      </x:c>
      <x:c r="K24" s="11" t="str">
        <x:v>No guaranteed service</x:v>
      </x:c>
    </x:row>
    <x:row r="25">
      <x:c r="A25" s="11" t="str">
        <x:v>HC-2024-0215</x:v>
      </x:c>
      <x:c r="B25" s="11" t="str">
        <x:v>ArrowPeak Logistics</x:v>
      </x:c>
      <x:c r="C25" s="11" t="str">
        <x:v>DAMAGE</x:v>
      </x:c>
      <x:c r="D25" s="11" t="str">
        <x:v>Standard LTL</x:v>
      </x:c>
      <x:c r="E25" s="14" t="n">
        <x:v>3300</x:v>
      </x:c>
      <x:c r="F25" s="14" t="n">
        <x:v>2850</x:v>
      </x:c>
      <x:c r="G25" s="16" t="n">
        <x:f>F25/E25</x:f>
        <x:v>0.8636363636363636</x:v>
      </x:c>
      <x:c r="H25" s="11" t="n">
        <x:v>39</x:v>
      </x:c>
      <x:c r="I25" s="11" t="str">
        <x:v>POD+invoice+inspection</x:v>
      </x:c>
      <x:c r="J25" s="11" t="str">
        <x:v>Shortage corroborated by consignee record</x:v>
      </x:c>
      <x:c r="K25" s="11" t="str">
        <x:v>Long-term account</x:v>
      </x:c>
    </x:row>
    <x:row r="26">
      <x:c r="A26" s="11" t="str">
        <x:v>HC-2024-0216</x:v>
      </x:c>
      <x:c r="B26" s="11" t="str">
        <x:v>RoadBridge Freight</x:v>
      </x:c>
      <x:c r="C26" s="11" t="str">
        <x:v>DAMAGE+SHORTAGE</x:v>
      </x:c>
      <x:c r="D26" s="11" t="str">
        <x:v>Standard LTL</x:v>
      </x:c>
      <x:c r="E26" s="14" t="n">
        <x:v>18950</x:v>
      </x:c>
      <x:c r="F26" s="14" t="n">
        <x:v>16550</x:v>
      </x:c>
      <x:c r="G26" s="16" t="n">
        <x:f>F26/E26</x:f>
        <x:v>0.8733509234828496</x:v>
      </x:c>
      <x:c r="H26" s="11" t="n">
        <x:v>36</x:v>
      </x:c>
      <x:c r="I26" s="11" t="str">
        <x:v>POD+invoice</x:v>
      </x:c>
      <x:c r="J26" s="11" t="str">
        <x:v>Settled after two counteroffers</x:v>
      </x:c>
      <x:c r="K26" s="11" t="str"/>
    </x:row>
    <x:row r="27">
      <x:c r="A27" s="11" t="str">
        <x:v>HC-2024-0217</x:v>
      </x:c>
      <x:c r="B27" s="11" t="str">
        <x:v>ArrowPeak Logistics</x:v>
      </x:c>
      <x:c r="C27" s="11" t="str">
        <x:v>SHORTAGE</x:v>
      </x:c>
      <x:c r="D27" s="11" t="str">
        <x:v>Standard LTL</x:v>
      </x:c>
      <x:c r="E27" s="14" t="n">
        <x:v>20350</x:v>
      </x:c>
      <x:c r="F27" s="14" t="n">
        <x:v>15400</x:v>
      </x:c>
      <x:c r="G27" s="16" t="n">
        <x:f>F27/E27</x:f>
        <x:v>0.7567567567567568</x:v>
      </x:c>
      <x:c r="H27" s="11" t="n">
        <x:v>23</x:v>
      </x:c>
      <x:c r="I27" s="11" t="str">
        <x:v>POD+invoice+inspection</x:v>
      </x:c>
      <x:c r="J27" s="11" t="str">
        <x:v>Shortage corroborated by consignee record</x:v>
      </x:c>
      <x:c r="K27" s="11" t="str">
        <x:v>Long-term account</x:v>
      </x:c>
    </x:row>
    <x:row r="28">
      <x:c r="A28" s="11" t="str">
        <x:v>HC-2024-0218</x:v>
      </x:c>
      <x:c r="B28" s="11" t="str">
        <x:v>BlueLine Freight Systems</x:v>
      </x:c>
      <x:c r="C28" s="11" t="str">
        <x:v>DAMAGE+DELAY</x:v>
      </x:c>
      <x:c r="D28" s="11" t="str">
        <x:v>Standard LTL</x:v>
      </x:c>
      <x:c r="E28" s="14" t="n">
        <x:v>16350</x:v>
      </x:c>
      <x:c r="F28" s="14" t="n">
        <x:v>9375</x:v>
      </x:c>
      <x:c r="G28" s="16" t="n">
        <x:f>F28/E28</x:f>
        <x:v>0.573394495412844</x:v>
      </x:c>
      <x:c r="H28" s="11" t="n">
        <x:v>48</x:v>
      </x:c>
      <x:c r="I28" s="11" t="str">
        <x:v>POD+invoice+photos</x:v>
      </x:c>
      <x:c r="J28" s="11" t="str">
        <x:v>Direct cargo loss paid; commercial damages excluded</x:v>
      </x:c>
      <x:c r="K28" s="11" t="str">
        <x:v>Evidence complete</x:v>
      </x:c>
    </x:row>
    <x:row r="29">
      <x:c r="A29" s="11" t="str">
        <x:v>HC-2024-0219</x:v>
      </x:c>
      <x:c r="B29" s="11" t="str">
        <x:v>BlueLine Freight Systems</x:v>
      </x:c>
      <x:c r="C29" s="11" t="str">
        <x:v>SHORTAGE</x:v>
      </x:c>
      <x:c r="D29" s="11" t="str">
        <x:v>Standard LTL</x:v>
      </x:c>
      <x:c r="E29" s="14" t="n">
        <x:v>7050</x:v>
      </x:c>
      <x:c r="F29" s="14" t="n">
        <x:v>6350</x:v>
      </x:c>
      <x:c r="G29" s="16" t="n">
        <x:f>F29/E29</x:f>
        <x:v>0.900709219858156</x:v>
      </x:c>
      <x:c r="H29" s="11" t="n">
        <x:v>48</x:v>
      </x:c>
      <x:c r="I29" s="11" t="str">
        <x:v>POD+invoice+photos</x:v>
      </x:c>
      <x:c r="J29" s="11" t="str">
        <x:v>Shortage corroborated by consignee record</x:v>
      </x:c>
      <x:c r="K29" s="11" t="str"/>
    </x:row>
    <x:row r="30">
      <x:c r="A30" s="11" t="str">
        <x:v>HC-2024-0220</x:v>
      </x:c>
      <x:c r="B30" s="11" t="str">
        <x:v>Western Parcel &amp; LTL</x:v>
      </x:c>
      <x:c r="C30" s="11" t="str">
        <x:v>SHORTAGE</x:v>
      </x:c>
      <x:c r="D30" s="11" t="str">
        <x:v>Guaranteed Appointment</x:v>
      </x:c>
      <x:c r="E30" s="14" t="n">
        <x:v>23300</x:v>
      </x:c>
      <x:c r="F30" s="14" t="n">
        <x:v>21425</x:v>
      </x:c>
      <x:c r="G30" s="16" t="n">
        <x:f>F30/E30</x:f>
        <x:v>0.9195278969957081</x:v>
      </x:c>
      <x:c r="H30" s="11" t="n">
        <x:v>49</x:v>
      </x:c>
      <x:c r="I30" s="11" t="str">
        <x:v>POD+invoice+inspection</x:v>
      </x:c>
      <x:c r="J30" s="11" t="str">
        <x:v>Direct cargo loss paid; commercial damages excluded</x:v>
      </x:c>
      <x:c r="K30" s="11" t="str">
        <x:v>Long-term account</x:v>
      </x:c>
    </x:row>
    <x:row r="31">
      <x:c r="A31" s="11" t="str">
        <x:v>HC-2024-0221</x:v>
      </x:c>
      <x:c r="B31" s="11" t="str">
        <x:v>BlueLine Freight Systems</x:v>
      </x:c>
      <x:c r="C31" s="11" t="str">
        <x:v>DAMAGE</x:v>
      </x:c>
      <x:c r="D31" s="11" t="str">
        <x:v>Guaranteed Appointment</x:v>
      </x:c>
      <x:c r="E31" s="14" t="n">
        <x:v>16200</x:v>
      </x:c>
      <x:c r="F31" s="14" t="n">
        <x:v>13575</x:v>
      </x:c>
      <x:c r="G31" s="16" t="n">
        <x:f>F31/E31</x:f>
        <x:v>0.8379629629629629</x:v>
      </x:c>
      <x:c r="H31" s="11" t="n">
        <x:v>34</x:v>
      </x:c>
      <x:c r="I31" s="11" t="str">
        <x:v>POD+invoice+photos</x:v>
      </x:c>
      <x:c r="J31" s="11" t="str">
        <x:v>Packaging allocation negotiated</x:v>
      </x:c>
      <x:c r="K31" s="11" t="str"/>
    </x:row>
  </x:sheetData>
  <x:pageMargins left="0.7" right="0.7" top="0.75" bottom="0.75" header="0.3" footer="0.3"/>
  <x:tableParts count="1">
    <x:tablePart xmlns:r="http://schemas.openxmlformats.org/officeDocument/2006/relationships" r:id="Rb4308a2f47434217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4" hidden="0" customWidth="1"/>
  </x:cols>
  <x:sheetData>
    <x:row r="1">
      <x:c r="A1" s="22" t="str">
        <x:v>Dataset</x:v>
      </x:c>
      <x:c r="B1" s="11" t="str">
        <x:v>Synthetic prior freight claims for interview exercise</x:v>
      </x:c>
    </x:row>
    <x:row r="2">
      <x:c r="A2" s="22" t="str">
        <x:v>Rows</x:v>
      </x:c>
      <x:c r="B2" s="11" t="n">
        <x:v>30</x:v>
      </x:c>
    </x:row>
    <x:row r="3">
      <x:c r="A3" s="22" t="str">
        <x:v>Primary carrier</x:v>
      </x:c>
      <x:c r="B3" s="11" t="str">
        <x:v>BlueLine Freight Systems</x:v>
      </x:c>
    </x:row>
    <x:row r="4">
      <x:c r="A4" s="22" t="str">
        <x:v>Amounts</x:v>
      </x:c>
      <x:c r="B4" s="11" t="str">
        <x:v>USD</x:v>
      </x:c>
    </x:row>
    <x:row r="5">
      <x:c r="A5" s="22" t="str">
        <x:v>Settlement %</x:v>
      </x:c>
      <x:c r="B5" s="11" t="str">
        <x:v>Settled / Claimed</x:v>
      </x:c>
    </x:row>
    <x:row r="6">
      <x:c r="A6" s="22" t="str">
        <x:v>Important note</x:v>
      </x:c>
      <x:c r="B6" s="11" t="str">
        <x:v>Historical outcomes are context, not binding precedent.</x:v>
      </x:c>
    </x:row>
    <x:row r="7">
      <x:c r="A7" s="22" t="str">
        <x:v>Suggested use</x:v>
      </x:c>
      <x:c r="B7" s="11" t="str">
        <x:v>Similarity retrieval, settlement comparisons, evaluation of evidence quality.</x:v>
      </x:c>
    </x:row>
    <x:row r="8">
      <x:c r="A8" s="22" t="str">
        <x:v>Privacy</x:v>
      </x:c>
      <x:c r="B8" s="11" t="str">
        <x:v>All companies and claim IDs are fictional.</x:v>
      </x:c>
    </x:row>
  </x:sheetData>
  <x:pageMargins left="0.7" right="0.7" top="0.75" bottom="0.75" header="0.3" footer="0.3"/>
</x:worksheet>
</file>